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Bayra\Documents\GitHub\DEAI\Week 6\Ma - DEAI - Lineaire Regressie\"/>
    </mc:Choice>
  </mc:AlternateContent>
  <xr:revisionPtr revIDLastSave="0" documentId="13_ncr:1_{EBB9A3F3-14F2-449A-9629-5B898354B0D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Logboek" sheetId="1" r:id="rId1"/>
    <sheet name="Experimente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2" l="1"/>
  <c r="K6" i="2"/>
  <c r="L5" i="2"/>
  <c r="K5" i="2"/>
  <c r="L4" i="2"/>
  <c r="K4" i="2"/>
  <c r="L3" i="2"/>
  <c r="K3" i="2"/>
  <c r="B28" i="1"/>
  <c r="B27" i="1"/>
  <c r="B26" i="1"/>
  <c r="B25" i="1"/>
  <c r="B24" i="1"/>
  <c r="B23" i="1"/>
  <c r="B22" i="1"/>
  <c r="B21" i="1"/>
</calcChain>
</file>

<file path=xl/sharedStrings.xml><?xml version="1.0" encoding="utf-8"?>
<sst xmlns="http://schemas.openxmlformats.org/spreadsheetml/2006/main" count="107" uniqueCount="96">
  <si>
    <t>Logboek Lineaire Regressie</t>
  </si>
  <si>
    <t>Onderdeel</t>
  </si>
  <si>
    <t>Inhoud</t>
  </si>
  <si>
    <t>Dataset</t>
  </si>
  <si>
    <t>AmesHousing.xlsx</t>
  </si>
  <si>
    <t>Notebook</t>
  </si>
  <si>
    <t>Lineaire Regressie.ipynb</t>
  </si>
  <si>
    <t>Target</t>
  </si>
  <si>
    <t>SalePrice</t>
  </si>
  <si>
    <t>Feature 1</t>
  </si>
  <si>
    <t>Overall Qual (numeriek)</t>
  </si>
  <si>
    <t>Feature 2</t>
  </si>
  <si>
    <t>Gr Liv Area (numeriek)</t>
  </si>
  <si>
    <t>Feature 3</t>
  </si>
  <si>
    <t>Neighborhood (categorisch)</t>
  </si>
  <si>
    <t>One-hot encoding</t>
  </si>
  <si>
    <t>Neighborhood</t>
  </si>
  <si>
    <t>Train/test-verdeling</t>
  </si>
  <si>
    <t>80% train / 20% test</t>
  </si>
  <si>
    <t>X_train vorm</t>
  </si>
  <si>
    <t>2344 rijen × 3 kolommen</t>
  </si>
  <si>
    <t>X_test vorm</t>
  </si>
  <si>
    <t>586 rijen × 3 kolommen</t>
  </si>
  <si>
    <t>y_train vorm</t>
  </si>
  <si>
    <t>2344 rijen</t>
  </si>
  <si>
    <t>y_test vorm</t>
  </si>
  <si>
    <t>586 rijen</t>
  </si>
  <si>
    <t>Model</t>
  </si>
  <si>
    <t>SGDRegressor</t>
  </si>
  <si>
    <t>Hyperparameter 1</t>
  </si>
  <si>
    <t>max_iter = 1000</t>
  </si>
  <si>
    <t>Hyperparameter 2</t>
  </si>
  <si>
    <t>eta0 = 0.0001</t>
  </si>
  <si>
    <t>Extra instelling</t>
  </si>
  <si>
    <t>learning_rate = constant</t>
  </si>
  <si>
    <t>MAE</t>
  </si>
  <si>
    <t>MSE</t>
  </si>
  <si>
    <t>RMSE</t>
  </si>
  <si>
    <t>R2</t>
  </si>
  <si>
    <t>Beste run</t>
  </si>
  <si>
    <t>Beste R2</t>
  </si>
  <si>
    <t>Verbetering R2</t>
  </si>
  <si>
    <t>Verbetering RMSE</t>
  </si>
  <si>
    <t>Korte conclusie</t>
  </si>
  <si>
    <t>Experimenten</t>
  </si>
  <si>
    <t>Run</t>
  </si>
  <si>
    <t>Features</t>
  </si>
  <si>
    <t>Categorisch (one-hot)</t>
  </si>
  <si>
    <t>max_iter</t>
  </si>
  <si>
    <t>eta0</t>
  </si>
  <si>
    <t>learning_rate</t>
  </si>
  <si>
    <t>ΔR2</t>
  </si>
  <si>
    <t>ΔRMSE</t>
  </si>
  <si>
    <t>Opmerking</t>
  </si>
  <si>
    <t>Overall Qual, Gr Liv Area, Neighborhood</t>
  </si>
  <si>
    <t>constant</t>
  </si>
  <si>
    <t>Basismodel</t>
  </si>
  <si>
    <t>Experiment 1</t>
  </si>
  <si>
    <t>Overall Qual, Gr Liv Area, Neighborhood, Year Built</t>
  </si>
  <si>
    <t>Year Built toegevoegd</t>
  </si>
  <si>
    <t>Experiment 2</t>
  </si>
  <si>
    <t>Overall Qual, Gr Liv Area, Neighborhood, House Style, Year Built</t>
  </si>
  <si>
    <t>Neighborhood, House Style</t>
  </si>
  <si>
    <t>House Style + hogere eta0/max_iter</t>
  </si>
  <si>
    <t>Experiment 3</t>
  </si>
  <si>
    <t>Overall Qual, Gr Liv Area, Neighborhood, House Style, Year Built, Total Bsmt SF</t>
  </si>
  <si>
    <t>Total Bsmt SF toegevoegd; beste run</t>
  </si>
  <si>
    <t>Initiele run</t>
  </si>
  <si>
    <t>Bestand met huizen data</t>
  </si>
  <si>
    <t>Mijn pipeline script</t>
  </si>
  <si>
    <t>Verspellingen over verkoopprijs</t>
  </si>
  <si>
    <t>Welke buurt waarin het huis ligt (categorie)</t>
  </si>
  <si>
    <t>Ik zet elke buurt om in een eigen 0/1‑kolom, omdat een model niet met tekst werkt</t>
  </si>
  <si>
    <t>Ik split de data 80/20: met X_train/y_train train ik het model en met X_test/y_test check ik de prestaties</t>
  </si>
  <si>
    <t>2344 huizen in de trainingset, met 3 gebruikte features.</t>
  </si>
  <si>
    <t>586 huizen in de testset</t>
  </si>
  <si>
    <t>De echte verkoopprijzen van die 2344 trainingshuizen.</t>
  </si>
  <si>
    <t>De echte verkoopprijzen van die 586 testhuizen</t>
  </si>
  <si>
    <t>2344 + 586 = 2930 huizen totaal</t>
  </si>
  <si>
    <t>Totaal data</t>
  </si>
  <si>
    <t>Het model leert een rechte lijn om prijzen te voorspellen</t>
  </si>
  <si>
    <t>Totaal aantal huisen</t>
  </si>
  <si>
    <t>Het model mag zich maximaal 1000 keer aanpassen</t>
  </si>
  <si>
    <t>Dit is de startstapgrootte: een kleine waarde om het model voorzichtig te laten leren</t>
  </si>
  <si>
    <t>De leersnelheid blijft tijdens het trainen constant/zelfde</t>
  </si>
  <si>
    <t>MAE betekent dat mijn voorspelling gemiddeld zo’n 25,5k dollar afwijkt van de echte prijs</t>
  </si>
  <si>
    <t>MSE kwadrateert fouten, waardoor grote fouten extra zwaar tellen</t>
  </si>
  <si>
    <t>RMSE is de wortel van MSE en geeft aan dat de fout gemiddeld zo’n 39,7k dollar is</t>
  </si>
  <si>
    <t>R2 laat zien hoeveel variatie het model verklaart: 0,8037 ≈ 80%. Dat is netjes</t>
  </si>
  <si>
    <t>Experiment 3 het best werkte</t>
  </si>
  <si>
    <t>Kwaliteit van huis (1 tot 10)</t>
  </si>
  <si>
    <t>Woonoppervlakte van huis (vierkante meter)</t>
  </si>
  <si>
    <t>Dat is zo’n 82,8% verklaarde variantie, dus beter dan mijn eerste run</t>
  </si>
  <si>
    <t>Dat betekent dat mijn model zo’n 2 procentpunt is verbeterd, van ±0,80 naar ±0,82</t>
  </si>
  <si>
    <t>Dat betekent dat mijn fout ongeveer 2532 dollar daalde, dus mijn beste model zat gemiddeld iets dichter bij de echte prijs</t>
  </si>
  <si>
    <t>Meer features en aangepaste hyperparameters maakten het model beter dan de initiele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</si>
</sst>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0" xfId="1" applyFont="1"/>
    <xf numFmtId="0" fontId="2" fillId="2" borderId="1" xfId="1" applyFont="1" applyFill="1" applyBorder="1"/>
    <xf numFmtId="0" fontId="2" fillId="0" borderId="0" xfId="1" applyFont="1" applyAlignment="1">
      <alignment vertical="top"/>
    </xf>
    <xf numFmtId="0" fontId="0" fillId="0" borderId="0" xfId="1" applyFont="1" applyAlignment="1">
      <alignment vertical="top" wrapText="1"/>
    </xf>
    <xf numFmtId="4" fontId="0" fillId="0" borderId="0" xfId="1" applyNumberFormat="1" applyFont="1" applyAlignment="1">
      <alignment vertical="top" wrapText="1"/>
    </xf>
    <xf numFmtId="164" fontId="0" fillId="0" borderId="0" xfId="1" applyNumberFormat="1" applyFont="1" applyAlignment="1">
      <alignment vertical="top" wrapText="1"/>
    </xf>
    <xf numFmtId="0" fontId="2" fillId="2" borderId="1" xfId="1" applyFont="1" applyFill="1" applyBorder="1" applyAlignment="1">
      <alignment vertical="top" wrapText="1"/>
    </xf>
    <xf numFmtId="0" fontId="0" fillId="0" borderId="0" xfId="1" applyFont="1" applyAlignment="1">
      <alignment horizontal="right" vertical="top"/>
    </xf>
    <xf numFmtId="4" fontId="0" fillId="0" borderId="0" xfId="1" applyNumberFormat="1" applyFont="1" applyAlignment="1">
      <alignment horizontal="right" vertical="top"/>
    </xf>
    <xf numFmtId="164" fontId="0" fillId="0" borderId="0" xfId="1" applyNumberFormat="1" applyFont="1" applyAlignment="1">
      <alignment horizontal="right" vertical="top"/>
    </xf>
  </cellXfs>
  <cellStyles count="2">
    <cellStyle name="Normal" xfId="1" xr:uid="{00000000-0005-0000-0000-000000000000}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zoomScaleNormal="100" workbookViewId="0">
      <selection activeCell="B23" sqref="B23"/>
    </sheetView>
  </sheetViews>
  <sheetFormatPr defaultRowHeight="14.5" x14ac:dyDescent="0.35"/>
  <cols>
    <col min="1" max="1" width="24" customWidth="1"/>
    <col min="2" max="2" width="52" customWidth="1"/>
    <col min="3" max="3" width="88" bestFit="1" customWidth="1"/>
  </cols>
  <sheetData>
    <row r="1" spans="1:3" ht="18.5" x14ac:dyDescent="0.45">
      <c r="A1" s="1" t="s">
        <v>0</v>
      </c>
    </row>
    <row r="3" spans="1:3" x14ac:dyDescent="0.35">
      <c r="A3" s="2" t="s">
        <v>1</v>
      </c>
      <c r="B3" s="2" t="s">
        <v>2</v>
      </c>
      <c r="C3" s="2" t="s">
        <v>53</v>
      </c>
    </row>
    <row r="4" spans="1:3" x14ac:dyDescent="0.35">
      <c r="A4" s="3" t="s">
        <v>3</v>
      </c>
      <c r="B4" s="4" t="s">
        <v>4</v>
      </c>
      <c r="C4" t="s">
        <v>68</v>
      </c>
    </row>
    <row r="5" spans="1:3" x14ac:dyDescent="0.35">
      <c r="A5" s="3" t="s">
        <v>5</v>
      </c>
      <c r="B5" s="4" t="s">
        <v>6</v>
      </c>
      <c r="C5" t="s">
        <v>69</v>
      </c>
    </row>
    <row r="6" spans="1:3" x14ac:dyDescent="0.35">
      <c r="A6" s="3" t="s">
        <v>7</v>
      </c>
      <c r="B6" s="4" t="s">
        <v>8</v>
      </c>
      <c r="C6" t="s">
        <v>70</v>
      </c>
    </row>
    <row r="7" spans="1:3" x14ac:dyDescent="0.35">
      <c r="A7" s="3" t="s">
        <v>9</v>
      </c>
      <c r="B7" s="4" t="s">
        <v>10</v>
      </c>
      <c r="C7" t="s">
        <v>90</v>
      </c>
    </row>
    <row r="8" spans="1:3" x14ac:dyDescent="0.35">
      <c r="A8" s="3" t="s">
        <v>11</v>
      </c>
      <c r="B8" s="4" t="s">
        <v>12</v>
      </c>
      <c r="C8" t="s">
        <v>91</v>
      </c>
    </row>
    <row r="9" spans="1:3" x14ac:dyDescent="0.35">
      <c r="A9" s="3" t="s">
        <v>13</v>
      </c>
      <c r="B9" s="4" t="s">
        <v>14</v>
      </c>
      <c r="C9" t="s">
        <v>71</v>
      </c>
    </row>
    <row r="10" spans="1:3" x14ac:dyDescent="0.35">
      <c r="A10" s="3" t="s">
        <v>15</v>
      </c>
      <c r="B10" s="4" t="s">
        <v>16</v>
      </c>
      <c r="C10" t="s">
        <v>72</v>
      </c>
    </row>
    <row r="11" spans="1:3" x14ac:dyDescent="0.35">
      <c r="A11" s="3" t="s">
        <v>17</v>
      </c>
      <c r="B11" s="4" t="s">
        <v>18</v>
      </c>
      <c r="C11" t="s">
        <v>73</v>
      </c>
    </row>
    <row r="12" spans="1:3" x14ac:dyDescent="0.35">
      <c r="A12" s="3" t="s">
        <v>19</v>
      </c>
      <c r="B12" s="4" t="s">
        <v>20</v>
      </c>
      <c r="C12" t="s">
        <v>74</v>
      </c>
    </row>
    <row r="13" spans="1:3" x14ac:dyDescent="0.35">
      <c r="A13" s="3" t="s">
        <v>21</v>
      </c>
      <c r="B13" s="4" t="s">
        <v>22</v>
      </c>
      <c r="C13" t="s">
        <v>75</v>
      </c>
    </row>
    <row r="14" spans="1:3" x14ac:dyDescent="0.35">
      <c r="A14" s="3" t="s">
        <v>23</v>
      </c>
      <c r="B14" s="4" t="s">
        <v>24</v>
      </c>
      <c r="C14" t="s">
        <v>76</v>
      </c>
    </row>
    <row r="15" spans="1:3" x14ac:dyDescent="0.35">
      <c r="A15" s="3" t="s">
        <v>25</v>
      </c>
      <c r="B15" s="4" t="s">
        <v>26</v>
      </c>
      <c r="C15" t="s">
        <v>77</v>
      </c>
    </row>
    <row r="16" spans="1:3" x14ac:dyDescent="0.35">
      <c r="A16" s="3" t="s">
        <v>79</v>
      </c>
      <c r="B16" s="4" t="s">
        <v>78</v>
      </c>
      <c r="C16" t="s">
        <v>81</v>
      </c>
    </row>
    <row r="17" spans="1:3" x14ac:dyDescent="0.35">
      <c r="A17" s="3" t="s">
        <v>27</v>
      </c>
      <c r="B17" s="4" t="s">
        <v>28</v>
      </c>
      <c r="C17" t="s">
        <v>80</v>
      </c>
    </row>
    <row r="18" spans="1:3" x14ac:dyDescent="0.35">
      <c r="A18" s="3" t="s">
        <v>29</v>
      </c>
      <c r="B18" s="4" t="s">
        <v>30</v>
      </c>
      <c r="C18" t="s">
        <v>82</v>
      </c>
    </row>
    <row r="19" spans="1:3" x14ac:dyDescent="0.35">
      <c r="A19" s="3" t="s">
        <v>31</v>
      </c>
      <c r="B19" s="4" t="s">
        <v>32</v>
      </c>
      <c r="C19" t="s">
        <v>83</v>
      </c>
    </row>
    <row r="20" spans="1:3" x14ac:dyDescent="0.35">
      <c r="A20" s="3" t="s">
        <v>33</v>
      </c>
      <c r="B20" s="4" t="s">
        <v>34</v>
      </c>
      <c r="C20" t="s">
        <v>84</v>
      </c>
    </row>
    <row r="21" spans="1:3" x14ac:dyDescent="0.35">
      <c r="A21" s="3" t="s">
        <v>35</v>
      </c>
      <c r="B21" s="5">
        <f>Experimenten!G3</f>
        <v>25537.471930690321</v>
      </c>
      <c r="C21" t="s">
        <v>85</v>
      </c>
    </row>
    <row r="22" spans="1:3" x14ac:dyDescent="0.35">
      <c r="A22" s="3" t="s">
        <v>36</v>
      </c>
      <c r="B22" s="5">
        <f>Experimenten!H3</f>
        <v>1573826553.2347431</v>
      </c>
      <c r="C22" t="s">
        <v>86</v>
      </c>
    </row>
    <row r="23" spans="1:3" x14ac:dyDescent="0.35">
      <c r="A23" s="3" t="s">
        <v>37</v>
      </c>
      <c r="B23" s="5">
        <f>Experimenten!I3</f>
        <v>39671.48287163896</v>
      </c>
      <c r="C23" t="s">
        <v>87</v>
      </c>
    </row>
    <row r="24" spans="1:3" x14ac:dyDescent="0.35">
      <c r="A24" s="3" t="s">
        <v>38</v>
      </c>
      <c r="B24" s="6">
        <f>Experimenten!J3</f>
        <v>0.80370225824686126</v>
      </c>
      <c r="C24" t="s">
        <v>88</v>
      </c>
    </row>
    <row r="25" spans="1:3" x14ac:dyDescent="0.35">
      <c r="A25" s="3" t="s">
        <v>39</v>
      </c>
      <c r="B25" s="4" t="str">
        <f>INDEX(Experimenten!A3:A6, MATCH(MAX(Experimenten!J3:J6), Experimenten!J3:J6, 0))</f>
        <v>Experiment 3</v>
      </c>
      <c r="C25" t="s">
        <v>89</v>
      </c>
    </row>
    <row r="26" spans="1:3" x14ac:dyDescent="0.35">
      <c r="A26" s="3" t="s">
        <v>40</v>
      </c>
      <c r="B26" s="6">
        <f>MAX(Experimenten!J3:J6)</f>
        <v>0.82796205512308774</v>
      </c>
      <c r="C26" t="s">
        <v>92</v>
      </c>
    </row>
    <row r="27" spans="1:3" x14ac:dyDescent="0.35">
      <c r="A27" s="3" t="s">
        <v>41</v>
      </c>
      <c r="B27" s="5">
        <f>MAX(Experimenten!J3:J6)-Experimenten!J3</f>
        <v>2.425979687622648E-2</v>
      </c>
      <c r="C27" t="s">
        <v>93</v>
      </c>
    </row>
    <row r="28" spans="1:3" x14ac:dyDescent="0.35">
      <c r="A28" s="3" t="s">
        <v>42</v>
      </c>
      <c r="B28" s="4">
        <f>Experimenten!I3-INDEX(Experimenten!I3:I6, MATCH(MAX(Experimenten!J3:J6), Experimenten!J3:J6, 0))</f>
        <v>2532.252010115837</v>
      </c>
      <c r="C28" t="s">
        <v>94</v>
      </c>
    </row>
    <row r="29" spans="1:3" ht="29" x14ac:dyDescent="0.35">
      <c r="A29" s="3" t="s">
        <v>43</v>
      </c>
      <c r="B29" s="4" t="s">
        <v>95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"/>
  <sheetViews>
    <sheetView workbookViewId="0">
      <selection activeCell="J23" sqref="J23"/>
    </sheetView>
  </sheetViews>
  <sheetFormatPr defaultRowHeight="14.5" x14ac:dyDescent="0.35"/>
  <cols>
    <col min="1" max="1" width="14" customWidth="1"/>
    <col min="2" max="2" width="42" customWidth="1"/>
    <col min="3" max="3" width="25" customWidth="1"/>
    <col min="4" max="5" width="10" customWidth="1"/>
    <col min="6" max="6" width="14" customWidth="1"/>
    <col min="7" max="7" width="15.81640625" customWidth="1"/>
    <col min="8" max="8" width="21.54296875" customWidth="1"/>
    <col min="9" max="9" width="15.6328125" customWidth="1"/>
    <col min="10" max="10" width="14.26953125" customWidth="1"/>
    <col min="11" max="11" width="15.7265625" customWidth="1"/>
    <col min="12" max="12" width="15.6328125" customWidth="1"/>
    <col min="13" max="13" width="30.6328125" customWidth="1"/>
  </cols>
  <sheetData>
    <row r="1" spans="1:13" ht="18.5" x14ac:dyDescent="0.45">
      <c r="A1" s="1" t="s">
        <v>44</v>
      </c>
    </row>
    <row r="2" spans="1:13" x14ac:dyDescent="0.35">
      <c r="A2" s="7" t="s">
        <v>45</v>
      </c>
      <c r="B2" s="7" t="s">
        <v>46</v>
      </c>
      <c r="C2" s="7" t="s">
        <v>47</v>
      </c>
      <c r="D2" s="7" t="s">
        <v>48</v>
      </c>
      <c r="E2" s="7" t="s">
        <v>49</v>
      </c>
      <c r="F2" s="7" t="s">
        <v>50</v>
      </c>
      <c r="G2" s="7" t="s">
        <v>35</v>
      </c>
      <c r="H2" s="7" t="s">
        <v>36</v>
      </c>
      <c r="I2" s="7" t="s">
        <v>37</v>
      </c>
      <c r="J2" s="7" t="s">
        <v>38</v>
      </c>
      <c r="K2" s="7" t="s">
        <v>51</v>
      </c>
      <c r="L2" s="7" t="s">
        <v>52</v>
      </c>
      <c r="M2" s="7" t="s">
        <v>53</v>
      </c>
    </row>
    <row r="3" spans="1:13" x14ac:dyDescent="0.35">
      <c r="A3" s="4" t="s">
        <v>67</v>
      </c>
      <c r="B3" s="4" t="s">
        <v>54</v>
      </c>
      <c r="C3" s="4" t="s">
        <v>16</v>
      </c>
      <c r="D3" s="8">
        <v>1000</v>
      </c>
      <c r="E3" s="8">
        <v>1E-4</v>
      </c>
      <c r="F3" s="4" t="s">
        <v>55</v>
      </c>
      <c r="G3" s="9">
        <v>25537.471930690321</v>
      </c>
      <c r="H3" s="9">
        <v>1573826553.2347431</v>
      </c>
      <c r="I3" s="9">
        <v>39671.48287163896</v>
      </c>
      <c r="J3" s="10">
        <v>0.80370225824686126</v>
      </c>
      <c r="K3" s="10">
        <f>J3-$J$3</f>
        <v>0</v>
      </c>
      <c r="L3" s="9">
        <f>$I$3-I3</f>
        <v>0</v>
      </c>
      <c r="M3" s="4" t="s">
        <v>56</v>
      </c>
    </row>
    <row r="4" spans="1:13" ht="29" x14ac:dyDescent="0.35">
      <c r="A4" s="4" t="s">
        <v>57</v>
      </c>
      <c r="B4" s="4" t="s">
        <v>58</v>
      </c>
      <c r="C4" s="4" t="s">
        <v>16</v>
      </c>
      <c r="D4" s="8">
        <v>1500</v>
      </c>
      <c r="E4" s="8">
        <v>1E-4</v>
      </c>
      <c r="F4" s="4" t="s">
        <v>55</v>
      </c>
      <c r="G4" s="9">
        <v>24936.742939812419</v>
      </c>
      <c r="H4" s="9">
        <v>1536087603.0279219</v>
      </c>
      <c r="I4" s="9">
        <v>39192.953486920604</v>
      </c>
      <c r="J4" s="10">
        <v>0.80840930216253737</v>
      </c>
      <c r="K4" s="10">
        <f>J4-$J$3</f>
        <v>4.7070439156761124E-3</v>
      </c>
      <c r="L4" s="9">
        <f>$I$3-I4</f>
        <v>478.5293847183566</v>
      </c>
      <c r="M4" s="4" t="s">
        <v>59</v>
      </c>
    </row>
    <row r="5" spans="1:13" ht="29" x14ac:dyDescent="0.35">
      <c r="A5" s="4" t="s">
        <v>60</v>
      </c>
      <c r="B5" s="4" t="s">
        <v>61</v>
      </c>
      <c r="C5" s="4" t="s">
        <v>62</v>
      </c>
      <c r="D5" s="8">
        <v>2000</v>
      </c>
      <c r="E5" s="8">
        <v>5.0000000000000001E-4</v>
      </c>
      <c r="F5" s="4" t="s">
        <v>55</v>
      </c>
      <c r="G5" s="9">
        <v>23509.15317296912</v>
      </c>
      <c r="H5" s="9">
        <v>1396630389.47631</v>
      </c>
      <c r="I5" s="9">
        <v>37371.518426153219</v>
      </c>
      <c r="J5" s="10">
        <v>0.82580330027185989</v>
      </c>
      <c r="K5" s="10">
        <f>J5-$J$3</f>
        <v>2.2101042024998629E-2</v>
      </c>
      <c r="L5" s="9">
        <f>$I$3-I5</f>
        <v>2299.9644454857407</v>
      </c>
      <c r="M5" s="4" t="s">
        <v>63</v>
      </c>
    </row>
    <row r="6" spans="1:13" ht="29" x14ac:dyDescent="0.35">
      <c r="A6" s="4" t="s">
        <v>64</v>
      </c>
      <c r="B6" s="4" t="s">
        <v>65</v>
      </c>
      <c r="C6" s="4" t="s">
        <v>62</v>
      </c>
      <c r="D6" s="8">
        <v>3000</v>
      </c>
      <c r="E6" s="8">
        <v>1E-3</v>
      </c>
      <c r="F6" s="4" t="s">
        <v>55</v>
      </c>
      <c r="G6" s="9">
        <v>23654.68327244106</v>
      </c>
      <c r="H6" s="9">
        <v>1379322468.9855111</v>
      </c>
      <c r="I6" s="9">
        <v>37139.230861523123</v>
      </c>
      <c r="J6" s="10">
        <v>0.82796205512308774</v>
      </c>
      <c r="K6" s="10">
        <f>J6-$J$3</f>
        <v>2.425979687622648E-2</v>
      </c>
      <c r="L6" s="9">
        <f>$I$3-I6</f>
        <v>2532.252010115837</v>
      </c>
      <c r="M6" s="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Logboek</vt:lpstr>
      <vt:lpstr>Experimenten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Bayram Gürel (24031194)</cp:lastModifiedBy>
  <dcterms:modified xsi:type="dcterms:W3CDTF">2026-04-08T13:27:01Z</dcterms:modified>
</cp:coreProperties>
</file>